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эконом\"/>
    </mc:Choice>
  </mc:AlternateContent>
  <xr:revisionPtr revIDLastSave="0" documentId="13_ncr:1_{847C8A06-EF50-4662-8B3E-6DAF5603E546}" xr6:coauthVersionLast="47" xr6:coauthVersionMax="47" xr10:uidLastSave="{00000000-0000-0000-0000-000000000000}"/>
  <bookViews>
    <workbookView xWindow="-120" yWindow="-120" windowWidth="29040" windowHeight="15840" activeTab="1" xr2:uid="{1E60424C-4805-402F-A1D7-2898BA80568B}"/>
  </bookViews>
  <sheets>
    <sheet name="Sheet1" sheetId="1" r:id="rId1"/>
    <sheet name="Лист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2" l="1"/>
  <c r="L27" i="2" l="1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26" i="2"/>
</calcChain>
</file>

<file path=xl/sharedStrings.xml><?xml version="1.0" encoding="utf-8"?>
<sst xmlns="http://schemas.openxmlformats.org/spreadsheetml/2006/main" count="73" uniqueCount="69">
  <si>
    <t>11/18/2024</t>
  </si>
  <si>
    <t>11/20/2024</t>
  </si>
  <si>
    <t>11/22/2024</t>
  </si>
  <si>
    <t>11/25/2024</t>
  </si>
  <si>
    <t>11/26/2024</t>
  </si>
  <si>
    <t>11/27/2024</t>
  </si>
  <si>
    <t>11/28/2024</t>
  </si>
  <si>
    <t>11/29/2024</t>
  </si>
  <si>
    <t>12/2/2024</t>
  </si>
  <si>
    <t>12/3/2024</t>
  </si>
  <si>
    <t>12/4/2024</t>
  </si>
  <si>
    <t>12/5/2024</t>
  </si>
  <si>
    <t>12/6/2024</t>
  </si>
  <si>
    <t>12/7/2024</t>
  </si>
  <si>
    <t>12/9/2024</t>
  </si>
  <si>
    <t>12/10/2024</t>
  </si>
  <si>
    <t>12/11/2024</t>
  </si>
  <si>
    <t>12/12/2024</t>
  </si>
  <si>
    <t>12/13/2024</t>
  </si>
  <si>
    <t>12/14/2024</t>
  </si>
  <si>
    <t>12/15/2024</t>
  </si>
  <si>
    <t>Date</t>
  </si>
  <si>
    <t>Orders</t>
  </si>
  <si>
    <t>Site Visits</t>
  </si>
  <si>
    <t>11/17/2024</t>
  </si>
  <si>
    <t>11/16/2024</t>
  </si>
  <si>
    <t>11/15/2024</t>
  </si>
  <si>
    <t>11/19/2024</t>
  </si>
  <si>
    <t>11/21/2024</t>
  </si>
  <si>
    <t>11/23/2024</t>
  </si>
  <si>
    <t>11/24/2024</t>
  </si>
  <si>
    <t>11/30/2024</t>
  </si>
  <si>
    <t>12/1/2024</t>
  </si>
  <si>
    <t>12/8/2024</t>
  </si>
  <si>
    <t>12/16/2024</t>
  </si>
  <si>
    <t>12/17/2024</t>
  </si>
  <si>
    <t>Regression Analysis - Visits and Orders</t>
  </si>
  <si>
    <t>Order Volume</t>
  </si>
  <si>
    <t>Regression Analysis Template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</si>
  <si>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</si>
  <si>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</si>
  <si>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</si>
  <si>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</si>
  <si>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</si>
  <si>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</si>
  <si>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</si>
  <si>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</si>
  <si>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</si>
  <si>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</si>
  <si>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</si>
  <si>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</si>
  <si>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</si>
  <si>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</si>
  <si>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</si>
  <si>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</si>
  <si>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</si>
  <si>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</si>
  <si>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</si>
  <si>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</si>
  <si>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</si>
  <si>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</si>
  <si>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</si>
  <si>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</si>
  <si>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ВЫВОД ОСТАТКА</t>
  </si>
  <si>
    <t>Наблюдение</t>
  </si>
  <si>
    <t>Предсказанное Orders</t>
  </si>
  <si>
    <t>Остатки</t>
  </si>
  <si>
    <t>Стандартные остатки</t>
  </si>
  <si>
    <t>https://www.youtube.com/watch?v=cd2_GVI4CoQ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</si>
</sst>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yyyy/mm/dd;@"/>
    <numFmt numFmtId="166" formatCode="#,##0.000_ ;\-#,##0.000\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1" applyNumberFormat="1" applyFont="1"/>
    <xf numFmtId="165" fontId="0" fillId="0" borderId="0" xfId="0" applyNumberFormat="1"/>
    <xf numFmtId="0" fontId="3" fillId="2" borderId="0" xfId="0" applyFont="1" applyFill="1"/>
    <xf numFmtId="0" fontId="4" fillId="2" borderId="0" xfId="0" applyFont="1" applyFill="1" applyAlignment="1">
      <alignment horizontal="centerContinuous"/>
    </xf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0" fillId="0" borderId="1" xfId="0" applyBorder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Continuous"/>
    </xf>
    <xf numFmtId="166" fontId="0" fillId="0" borderId="0" xfId="0" applyNumberFormat="1"/>
    <xf numFmtId="0" fontId="0" fillId="3" borderId="0" xfId="0" applyFill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73323016048479"/>
          <c:y val="6.6933971749960838E-2"/>
          <c:w val="0.77705073042975459"/>
          <c:h val="0.793565757102186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0426563223714683"/>
                  <c:y val="-7.1511127807031186E-2"/>
                </c:manualLayout>
              </c:layout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Sheet1!$C$8:$C$40</c:f>
              <c:numCache>
                <c:formatCode>_-* #\ ##0_-;\-* #\ ##0_-;_-* "-"??_-;_-@_-</c:formatCode>
                <c:ptCount val="33"/>
                <c:pt idx="0">
                  <c:v>754</c:v>
                </c:pt>
                <c:pt idx="1">
                  <c:v>5137</c:v>
                </c:pt>
                <c:pt idx="2">
                  <c:v>6981</c:v>
                </c:pt>
                <c:pt idx="3">
                  <c:v>10002</c:v>
                </c:pt>
                <c:pt idx="4">
                  <c:v>5900</c:v>
                </c:pt>
                <c:pt idx="5">
                  <c:v>4602</c:v>
                </c:pt>
                <c:pt idx="6">
                  <c:v>6872</c:v>
                </c:pt>
                <c:pt idx="7">
                  <c:v>7184</c:v>
                </c:pt>
                <c:pt idx="8">
                  <c:v>1254</c:v>
                </c:pt>
                <c:pt idx="9">
                  <c:v>56891</c:v>
                </c:pt>
                <c:pt idx="10">
                  <c:v>144456</c:v>
                </c:pt>
                <c:pt idx="11">
                  <c:v>6617</c:v>
                </c:pt>
                <c:pt idx="12">
                  <c:v>5458</c:v>
                </c:pt>
                <c:pt idx="13">
                  <c:v>24115</c:v>
                </c:pt>
                <c:pt idx="14">
                  <c:v>6394</c:v>
                </c:pt>
                <c:pt idx="15">
                  <c:v>12593</c:v>
                </c:pt>
                <c:pt idx="16">
                  <c:v>40021</c:v>
                </c:pt>
                <c:pt idx="17">
                  <c:v>137457</c:v>
                </c:pt>
                <c:pt idx="18">
                  <c:v>4830</c:v>
                </c:pt>
                <c:pt idx="19">
                  <c:v>41505</c:v>
                </c:pt>
                <c:pt idx="20">
                  <c:v>12215</c:v>
                </c:pt>
                <c:pt idx="21">
                  <c:v>51857</c:v>
                </c:pt>
                <c:pt idx="22">
                  <c:v>11352</c:v>
                </c:pt>
                <c:pt idx="23">
                  <c:v>40897</c:v>
                </c:pt>
                <c:pt idx="24">
                  <c:v>180050</c:v>
                </c:pt>
                <c:pt idx="25">
                  <c:v>4241</c:v>
                </c:pt>
                <c:pt idx="26">
                  <c:v>99915</c:v>
                </c:pt>
                <c:pt idx="27">
                  <c:v>102484</c:v>
                </c:pt>
                <c:pt idx="28">
                  <c:v>10626</c:v>
                </c:pt>
                <c:pt idx="29">
                  <c:v>5866</c:v>
                </c:pt>
                <c:pt idx="30">
                  <c:v>1614</c:v>
                </c:pt>
                <c:pt idx="31">
                  <c:v>105803</c:v>
                </c:pt>
                <c:pt idx="32">
                  <c:v>121031</c:v>
                </c:pt>
              </c:numCache>
            </c:numRef>
          </c:xVal>
          <c:yVal>
            <c:numRef>
              <c:f>Sheet1!$D$8:$D$40</c:f>
              <c:numCache>
                <c:formatCode>_-* #\ ##0_-;\-* #\ ##0_-;_-* "-"??_-;_-@_-</c:formatCode>
                <c:ptCount val="33"/>
                <c:pt idx="0">
                  <c:v>4</c:v>
                </c:pt>
                <c:pt idx="1">
                  <c:v>27</c:v>
                </c:pt>
                <c:pt idx="2">
                  <c:v>37</c:v>
                </c:pt>
                <c:pt idx="3">
                  <c:v>21</c:v>
                </c:pt>
                <c:pt idx="4">
                  <c:v>44</c:v>
                </c:pt>
                <c:pt idx="5">
                  <c:v>17</c:v>
                </c:pt>
                <c:pt idx="6">
                  <c:v>25</c:v>
                </c:pt>
                <c:pt idx="7">
                  <c:v>39</c:v>
                </c:pt>
                <c:pt idx="8">
                  <c:v>5</c:v>
                </c:pt>
                <c:pt idx="9">
                  <c:v>218</c:v>
                </c:pt>
                <c:pt idx="10">
                  <c:v>162</c:v>
                </c:pt>
                <c:pt idx="11">
                  <c:v>142</c:v>
                </c:pt>
                <c:pt idx="12">
                  <c:v>37</c:v>
                </c:pt>
                <c:pt idx="13">
                  <c:v>119</c:v>
                </c:pt>
                <c:pt idx="14">
                  <c:v>43</c:v>
                </c:pt>
                <c:pt idx="15">
                  <c:v>115</c:v>
                </c:pt>
                <c:pt idx="16">
                  <c:v>203</c:v>
                </c:pt>
                <c:pt idx="17">
                  <c:v>637</c:v>
                </c:pt>
                <c:pt idx="18">
                  <c:v>391</c:v>
                </c:pt>
                <c:pt idx="19">
                  <c:v>151</c:v>
                </c:pt>
                <c:pt idx="20">
                  <c:v>176</c:v>
                </c:pt>
                <c:pt idx="21">
                  <c:v>159</c:v>
                </c:pt>
                <c:pt idx="22">
                  <c:v>110</c:v>
                </c:pt>
                <c:pt idx="23">
                  <c:v>362</c:v>
                </c:pt>
                <c:pt idx="24">
                  <c:v>799</c:v>
                </c:pt>
                <c:pt idx="25">
                  <c:v>83</c:v>
                </c:pt>
                <c:pt idx="26">
                  <c:v>740</c:v>
                </c:pt>
                <c:pt idx="27">
                  <c:v>822</c:v>
                </c:pt>
                <c:pt idx="28">
                  <c:v>275</c:v>
                </c:pt>
                <c:pt idx="29">
                  <c:v>84</c:v>
                </c:pt>
                <c:pt idx="30">
                  <c:v>180</c:v>
                </c:pt>
                <c:pt idx="31">
                  <c:v>425</c:v>
                </c:pt>
                <c:pt idx="32">
                  <c:v>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2C-4FE9-A8F6-D2682FD1A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809583"/>
        <c:axId val="1435822543"/>
      </c:scatterChart>
      <c:valAx>
        <c:axId val="1435809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b="1"/>
                  <a:t>Site Traffic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\ ##0_-;\-* #\ 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822543"/>
        <c:crosses val="autoZero"/>
        <c:crossBetween val="midCat"/>
      </c:valAx>
      <c:valAx>
        <c:axId val="143582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b="1"/>
                  <a:t># of Orders</a:t>
                </a:r>
              </a:p>
            </c:rich>
          </c:tx>
          <c:layout>
            <c:manualLayout>
              <c:xMode val="edge"/>
              <c:yMode val="edge"/>
              <c:x val="1.7769765820309182E-2"/>
              <c:y val="0.436022806403535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\ ##0_-;\-* #\ 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809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Sheet1!$D$8:$D$40</c:f>
              <c:numCache>
                <c:formatCode>_-* #\ ##0_-;\-* #\ ##0_-;_-* "-"??_-;_-@_-</c:formatCode>
                <c:ptCount val="33"/>
                <c:pt idx="0">
                  <c:v>4</c:v>
                </c:pt>
                <c:pt idx="1">
                  <c:v>27</c:v>
                </c:pt>
                <c:pt idx="2">
                  <c:v>37</c:v>
                </c:pt>
                <c:pt idx="3">
                  <c:v>21</c:v>
                </c:pt>
                <c:pt idx="4">
                  <c:v>44</c:v>
                </c:pt>
                <c:pt idx="5">
                  <c:v>17</c:v>
                </c:pt>
                <c:pt idx="6">
                  <c:v>25</c:v>
                </c:pt>
                <c:pt idx="7">
                  <c:v>39</c:v>
                </c:pt>
                <c:pt idx="8">
                  <c:v>5</c:v>
                </c:pt>
                <c:pt idx="9">
                  <c:v>218</c:v>
                </c:pt>
                <c:pt idx="10">
                  <c:v>162</c:v>
                </c:pt>
                <c:pt idx="11">
                  <c:v>142</c:v>
                </c:pt>
                <c:pt idx="12">
                  <c:v>37</c:v>
                </c:pt>
                <c:pt idx="13">
                  <c:v>119</c:v>
                </c:pt>
                <c:pt idx="14">
                  <c:v>43</c:v>
                </c:pt>
                <c:pt idx="15">
                  <c:v>115</c:v>
                </c:pt>
                <c:pt idx="16">
                  <c:v>203</c:v>
                </c:pt>
                <c:pt idx="17">
                  <c:v>637</c:v>
                </c:pt>
                <c:pt idx="18">
                  <c:v>391</c:v>
                </c:pt>
                <c:pt idx="19">
                  <c:v>151</c:v>
                </c:pt>
                <c:pt idx="20">
                  <c:v>176</c:v>
                </c:pt>
                <c:pt idx="21">
                  <c:v>159</c:v>
                </c:pt>
                <c:pt idx="22">
                  <c:v>110</c:v>
                </c:pt>
                <c:pt idx="23">
                  <c:v>362</c:v>
                </c:pt>
                <c:pt idx="24">
                  <c:v>799</c:v>
                </c:pt>
                <c:pt idx="25">
                  <c:v>83</c:v>
                </c:pt>
                <c:pt idx="26">
                  <c:v>740</c:v>
                </c:pt>
                <c:pt idx="27">
                  <c:v>822</c:v>
                </c:pt>
                <c:pt idx="28">
                  <c:v>275</c:v>
                </c:pt>
                <c:pt idx="29">
                  <c:v>84</c:v>
                </c:pt>
                <c:pt idx="30">
                  <c:v>180</c:v>
                </c:pt>
                <c:pt idx="31">
                  <c:v>425</c:v>
                </c:pt>
                <c:pt idx="32">
                  <c:v>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39-47FA-9925-34D4A30DC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456941807"/>
        <c:axId val="1456930767"/>
      </c:barChart>
      <c:catAx>
        <c:axId val="14569418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930767"/>
        <c:crosses val="autoZero"/>
        <c:auto val="1"/>
        <c:lblAlgn val="ctr"/>
        <c:lblOffset val="100"/>
        <c:noMultiLvlLbl val="0"/>
      </c:catAx>
      <c:valAx>
        <c:axId val="145693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94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Site Visits </a:t>
            </a:r>
            <a:r>
              <a:rPr lang="ru-RU"/>
              <a:t>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Лист1!$A$2:$A$34</c:f>
              <c:numCache>
                <c:formatCode>_-* #\ ##0_-;\-* #\ ##0_-;_-* "-"??_-;_-@_-</c:formatCode>
                <c:ptCount val="33"/>
                <c:pt idx="0">
                  <c:v>754</c:v>
                </c:pt>
                <c:pt idx="1">
                  <c:v>5137</c:v>
                </c:pt>
                <c:pt idx="2">
                  <c:v>6981</c:v>
                </c:pt>
                <c:pt idx="3">
                  <c:v>10002</c:v>
                </c:pt>
                <c:pt idx="4">
                  <c:v>5900</c:v>
                </c:pt>
                <c:pt idx="5">
                  <c:v>4602</c:v>
                </c:pt>
                <c:pt idx="6">
                  <c:v>6872</c:v>
                </c:pt>
                <c:pt idx="7">
                  <c:v>7184</c:v>
                </c:pt>
                <c:pt idx="8">
                  <c:v>1254</c:v>
                </c:pt>
                <c:pt idx="9">
                  <c:v>56891</c:v>
                </c:pt>
                <c:pt idx="10">
                  <c:v>144456</c:v>
                </c:pt>
                <c:pt idx="11">
                  <c:v>6617</c:v>
                </c:pt>
                <c:pt idx="12">
                  <c:v>5458</c:v>
                </c:pt>
                <c:pt idx="13">
                  <c:v>24115</c:v>
                </c:pt>
                <c:pt idx="14">
                  <c:v>6394</c:v>
                </c:pt>
                <c:pt idx="15">
                  <c:v>12593</c:v>
                </c:pt>
                <c:pt idx="16">
                  <c:v>40021</c:v>
                </c:pt>
                <c:pt idx="17">
                  <c:v>137457</c:v>
                </c:pt>
                <c:pt idx="18">
                  <c:v>4830</c:v>
                </c:pt>
                <c:pt idx="19">
                  <c:v>41505</c:v>
                </c:pt>
                <c:pt idx="20">
                  <c:v>12215</c:v>
                </c:pt>
                <c:pt idx="21">
                  <c:v>51857</c:v>
                </c:pt>
                <c:pt idx="22">
                  <c:v>11352</c:v>
                </c:pt>
                <c:pt idx="23">
                  <c:v>40897</c:v>
                </c:pt>
                <c:pt idx="24">
                  <c:v>180050</c:v>
                </c:pt>
                <c:pt idx="25">
                  <c:v>4241</c:v>
                </c:pt>
                <c:pt idx="26">
                  <c:v>99915</c:v>
                </c:pt>
                <c:pt idx="27">
                  <c:v>102484</c:v>
                </c:pt>
                <c:pt idx="28">
                  <c:v>10626</c:v>
                </c:pt>
                <c:pt idx="29">
                  <c:v>5866</c:v>
                </c:pt>
                <c:pt idx="30">
                  <c:v>1614</c:v>
                </c:pt>
                <c:pt idx="31">
                  <c:v>105803</c:v>
                </c:pt>
                <c:pt idx="32">
                  <c:v>121031</c:v>
                </c:pt>
              </c:numCache>
            </c:numRef>
          </c:xVal>
          <c:yVal>
            <c:numRef>
              <c:f>Лист1!$I$26:$I$58</c:f>
              <c:numCache>
                <c:formatCode>General</c:formatCode>
                <c:ptCount val="33"/>
                <c:pt idx="0">
                  <c:v>-69.57688344499978</c:v>
                </c:pt>
                <c:pt idx="1">
                  <c:v>-63.13081411095618</c:v>
                </c:pt>
                <c:pt idx="2">
                  <c:v>-60.095324297591731</c:v>
                </c:pt>
                <c:pt idx="3">
                  <c:v>-87.505186159753322</c:v>
                </c:pt>
                <c:pt idx="4">
                  <c:v>-49.012550158897028</c:v>
                </c:pt>
                <c:pt idx="5">
                  <c:v>-71.110199712989797</c:v>
                </c:pt>
                <c:pt idx="6">
                  <c:v>-71.683647719314465</c:v>
                </c:pt>
                <c:pt idx="7">
                  <c:v>-58.862024714016357</c:v>
                </c:pt>
                <c:pt idx="8">
                  <c:v>-70.465308115996407</c:v>
                </c:pt>
                <c:pt idx="9">
                  <c:v>-67.597874956474641</c:v>
                </c:pt>
                <c:pt idx="10">
                  <c:v>-454.31768758811336</c:v>
                </c:pt>
                <c:pt idx="11">
                  <c:v>46.279448862893815</c:v>
                </c:pt>
                <c:pt idx="12">
                  <c:v>-54.343182749736016</c:v>
                </c:pt>
                <c:pt idx="13">
                  <c:v>-42.80786092330402</c:v>
                </c:pt>
                <c:pt idx="14">
                  <c:v>-51.878313733841694</c:v>
                </c:pt>
                <c:pt idx="15">
                  <c:v>-3.2910028048578255</c:v>
                </c:pt>
                <c:pt idx="16">
                  <c:v>-18.882426557048575</c:v>
                </c:pt>
                <c:pt idx="17">
                  <c:v>47.116480956497526</c:v>
                </c:pt>
                <c:pt idx="18">
                  <c:v>302.02867863703574</c:v>
                </c:pt>
                <c:pt idx="19">
                  <c:v>-76.487270980566564</c:v>
                </c:pt>
                <c:pt idx="20">
                  <c:v>59.136646246415623</c:v>
                </c:pt>
                <c:pt idx="21">
                  <c:v>-107.58521536888065</c:v>
                </c:pt>
                <c:pt idx="22">
                  <c:v>-3.6039327714442067</c:v>
                </c:pt>
                <c:pt idx="23">
                  <c:v>136.80905341936534</c:v>
                </c:pt>
                <c:pt idx="24">
                  <c:v>48.249136932979127</c:v>
                </c:pt>
                <c:pt idx="25">
                  <c:v>-3.7467571005302318</c:v>
                </c:pt>
                <c:pt idx="26">
                  <c:v>291.9069589536079</c:v>
                </c:pt>
                <c:pt idx="27">
                  <c:v>364.20423299402728</c:v>
                </c:pt>
                <c:pt idx="28">
                  <c:v>164.13805985084289</c:v>
                </c:pt>
                <c:pt idx="29">
                  <c:v>-8.8841372812692612</c:v>
                </c:pt>
                <c:pt idx="30">
                  <c:v>103.17502612088603</c:v>
                </c:pt>
                <c:pt idx="31">
                  <c:v>-45.331129972048302</c:v>
                </c:pt>
                <c:pt idx="32">
                  <c:v>-22.844991751921498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19-4990-AEF1-8E7940388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5348064"/>
        <c:axId val="1305349504"/>
      </c:scatterChart>
      <c:valAx>
        <c:axId val="1305348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Site Visits</a:t>
                </a:r>
              </a:p>
            </c:rich>
          </c:tx>
          <c:overlay val="0"/>
        </c:title>
        <c:numFmt formatCode="_-* #\ ##0_-;\-* #\ ##0_-;_-* &quot;-&quot;??_-;_-@_-" sourceLinked="1"/>
        <c:majorTickMark val="out"/>
        <c:minorTickMark val="none"/>
        <c:tickLblPos val="nextTo"/>
        <c:crossAx val="1305349504"/>
        <c:crosses val="autoZero"/>
        <c:crossBetween val="midCat"/>
      </c:valAx>
      <c:valAx>
        <c:axId val="13053495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534806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Site Visits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Orders</c:v>
          </c:tx>
          <c:spPr>
            <a:ln w="38100">
              <a:noFill/>
            </a:ln>
          </c:spPr>
          <c:xVal>
            <c:numRef>
              <c:f>Лист1!$A$2:$A$34</c:f>
              <c:numCache>
                <c:formatCode>_-* #\ ##0_-;\-* #\ ##0_-;_-* "-"??_-;_-@_-</c:formatCode>
                <c:ptCount val="33"/>
                <c:pt idx="0">
                  <c:v>754</c:v>
                </c:pt>
                <c:pt idx="1">
                  <c:v>5137</c:v>
                </c:pt>
                <c:pt idx="2">
                  <c:v>6981</c:v>
                </c:pt>
                <c:pt idx="3">
                  <c:v>10002</c:v>
                </c:pt>
                <c:pt idx="4">
                  <c:v>5900</c:v>
                </c:pt>
                <c:pt idx="5">
                  <c:v>4602</c:v>
                </c:pt>
                <c:pt idx="6">
                  <c:v>6872</c:v>
                </c:pt>
                <c:pt idx="7">
                  <c:v>7184</c:v>
                </c:pt>
                <c:pt idx="8">
                  <c:v>1254</c:v>
                </c:pt>
                <c:pt idx="9">
                  <c:v>56891</c:v>
                </c:pt>
                <c:pt idx="10">
                  <c:v>144456</c:v>
                </c:pt>
                <c:pt idx="11">
                  <c:v>6617</c:v>
                </c:pt>
                <c:pt idx="12">
                  <c:v>5458</c:v>
                </c:pt>
                <c:pt idx="13">
                  <c:v>24115</c:v>
                </c:pt>
                <c:pt idx="14">
                  <c:v>6394</c:v>
                </c:pt>
                <c:pt idx="15">
                  <c:v>12593</c:v>
                </c:pt>
                <c:pt idx="16">
                  <c:v>40021</c:v>
                </c:pt>
                <c:pt idx="17">
                  <c:v>137457</c:v>
                </c:pt>
                <c:pt idx="18">
                  <c:v>4830</c:v>
                </c:pt>
                <c:pt idx="19">
                  <c:v>41505</c:v>
                </c:pt>
                <c:pt idx="20">
                  <c:v>12215</c:v>
                </c:pt>
                <c:pt idx="21">
                  <c:v>51857</c:v>
                </c:pt>
                <c:pt idx="22">
                  <c:v>11352</c:v>
                </c:pt>
                <c:pt idx="23">
                  <c:v>40897</c:v>
                </c:pt>
                <c:pt idx="24">
                  <c:v>180050</c:v>
                </c:pt>
                <c:pt idx="25">
                  <c:v>4241</c:v>
                </c:pt>
                <c:pt idx="26">
                  <c:v>99915</c:v>
                </c:pt>
                <c:pt idx="27">
                  <c:v>102484</c:v>
                </c:pt>
                <c:pt idx="28">
                  <c:v>10626</c:v>
                </c:pt>
                <c:pt idx="29">
                  <c:v>5866</c:v>
                </c:pt>
                <c:pt idx="30">
                  <c:v>1614</c:v>
                </c:pt>
                <c:pt idx="31">
                  <c:v>105803</c:v>
                </c:pt>
                <c:pt idx="32">
                  <c:v>121031</c:v>
                </c:pt>
              </c:numCache>
            </c:numRef>
          </c:xVal>
          <c:yVal>
            <c:numRef>
              <c:f>Лист1!$B$2:$B$34</c:f>
              <c:numCache>
                <c:formatCode>_-* #\ ##0_-;\-* #\ ##0_-;_-* "-"??_-;_-@_-</c:formatCode>
                <c:ptCount val="33"/>
                <c:pt idx="0">
                  <c:v>4</c:v>
                </c:pt>
                <c:pt idx="1">
                  <c:v>27</c:v>
                </c:pt>
                <c:pt idx="2">
                  <c:v>37</c:v>
                </c:pt>
                <c:pt idx="3">
                  <c:v>21</c:v>
                </c:pt>
                <c:pt idx="4">
                  <c:v>44</c:v>
                </c:pt>
                <c:pt idx="5">
                  <c:v>17</c:v>
                </c:pt>
                <c:pt idx="6">
                  <c:v>25</c:v>
                </c:pt>
                <c:pt idx="7">
                  <c:v>39</c:v>
                </c:pt>
                <c:pt idx="8">
                  <c:v>5</c:v>
                </c:pt>
                <c:pt idx="9">
                  <c:v>218</c:v>
                </c:pt>
                <c:pt idx="10">
                  <c:v>162</c:v>
                </c:pt>
                <c:pt idx="11">
                  <c:v>142</c:v>
                </c:pt>
                <c:pt idx="12">
                  <c:v>37</c:v>
                </c:pt>
                <c:pt idx="13">
                  <c:v>119</c:v>
                </c:pt>
                <c:pt idx="14">
                  <c:v>343</c:v>
                </c:pt>
                <c:pt idx="15">
                  <c:v>115</c:v>
                </c:pt>
                <c:pt idx="16">
                  <c:v>203</c:v>
                </c:pt>
                <c:pt idx="17">
                  <c:v>637</c:v>
                </c:pt>
                <c:pt idx="18">
                  <c:v>391</c:v>
                </c:pt>
                <c:pt idx="19">
                  <c:v>151</c:v>
                </c:pt>
                <c:pt idx="20">
                  <c:v>176</c:v>
                </c:pt>
                <c:pt idx="21">
                  <c:v>159</c:v>
                </c:pt>
                <c:pt idx="22">
                  <c:v>110</c:v>
                </c:pt>
                <c:pt idx="23">
                  <c:v>362</c:v>
                </c:pt>
                <c:pt idx="24">
                  <c:v>799</c:v>
                </c:pt>
                <c:pt idx="25">
                  <c:v>83</c:v>
                </c:pt>
                <c:pt idx="26">
                  <c:v>740</c:v>
                </c:pt>
                <c:pt idx="27">
                  <c:v>822</c:v>
                </c:pt>
                <c:pt idx="28">
                  <c:v>275</c:v>
                </c:pt>
                <c:pt idx="29">
                  <c:v>284</c:v>
                </c:pt>
                <c:pt idx="30">
                  <c:v>180</c:v>
                </c:pt>
                <c:pt idx="31">
                  <c:v>425</c:v>
                </c:pt>
                <c:pt idx="32">
                  <c:v>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40-4545-BFF9-F2D50B9982F4}"/>
            </c:ext>
          </c:extLst>
        </c:ser>
        <c:ser>
          <c:idx val="1"/>
          <c:order val="1"/>
          <c:tx>
            <c:v>Предсказанное Orders</c:v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1"/>
            <c:trendlineLbl>
              <c:layout>
                <c:manualLayout>
                  <c:x val="0.45595745844269464"/>
                  <c:y val="-0.13909253917517736"/>
                </c:manualLayout>
              </c:layout>
              <c:numFmt formatCode="General" sourceLinked="0"/>
            </c:trendlineLbl>
          </c:trendline>
          <c:xVal>
            <c:numRef>
              <c:f>Лист1!$A$2:$A$34</c:f>
              <c:numCache>
                <c:formatCode>_-* #\ ##0_-;\-* #\ ##0_-;_-* "-"??_-;_-@_-</c:formatCode>
                <c:ptCount val="33"/>
                <c:pt idx="0">
                  <c:v>754</c:v>
                </c:pt>
                <c:pt idx="1">
                  <c:v>5137</c:v>
                </c:pt>
                <c:pt idx="2">
                  <c:v>6981</c:v>
                </c:pt>
                <c:pt idx="3">
                  <c:v>10002</c:v>
                </c:pt>
                <c:pt idx="4">
                  <c:v>5900</c:v>
                </c:pt>
                <c:pt idx="5">
                  <c:v>4602</c:v>
                </c:pt>
                <c:pt idx="6">
                  <c:v>6872</c:v>
                </c:pt>
                <c:pt idx="7">
                  <c:v>7184</c:v>
                </c:pt>
                <c:pt idx="8">
                  <c:v>1254</c:v>
                </c:pt>
                <c:pt idx="9">
                  <c:v>56891</c:v>
                </c:pt>
                <c:pt idx="10">
                  <c:v>144456</c:v>
                </c:pt>
                <c:pt idx="11">
                  <c:v>6617</c:v>
                </c:pt>
                <c:pt idx="12">
                  <c:v>5458</c:v>
                </c:pt>
                <c:pt idx="13">
                  <c:v>24115</c:v>
                </c:pt>
                <c:pt idx="14">
                  <c:v>6394</c:v>
                </c:pt>
                <c:pt idx="15">
                  <c:v>12593</c:v>
                </c:pt>
                <c:pt idx="16">
                  <c:v>40021</c:v>
                </c:pt>
                <c:pt idx="17">
                  <c:v>137457</c:v>
                </c:pt>
                <c:pt idx="18">
                  <c:v>4830</c:v>
                </c:pt>
                <c:pt idx="19">
                  <c:v>41505</c:v>
                </c:pt>
                <c:pt idx="20">
                  <c:v>12215</c:v>
                </c:pt>
                <c:pt idx="21">
                  <c:v>51857</c:v>
                </c:pt>
                <c:pt idx="22">
                  <c:v>11352</c:v>
                </c:pt>
                <c:pt idx="23">
                  <c:v>40897</c:v>
                </c:pt>
                <c:pt idx="24">
                  <c:v>180050</c:v>
                </c:pt>
                <c:pt idx="25">
                  <c:v>4241</c:v>
                </c:pt>
                <c:pt idx="26">
                  <c:v>99915</c:v>
                </c:pt>
                <c:pt idx="27">
                  <c:v>102484</c:v>
                </c:pt>
                <c:pt idx="28">
                  <c:v>10626</c:v>
                </c:pt>
                <c:pt idx="29">
                  <c:v>5866</c:v>
                </c:pt>
                <c:pt idx="30">
                  <c:v>1614</c:v>
                </c:pt>
                <c:pt idx="31">
                  <c:v>105803</c:v>
                </c:pt>
                <c:pt idx="32">
                  <c:v>121031</c:v>
                </c:pt>
              </c:numCache>
            </c:numRef>
          </c:xVal>
          <c:yVal>
            <c:numRef>
              <c:f>Лист1!$H$26:$H$58</c:f>
              <c:numCache>
                <c:formatCode>General</c:formatCode>
                <c:ptCount val="33"/>
                <c:pt idx="0">
                  <c:v>73.57688344499978</c:v>
                </c:pt>
                <c:pt idx="1">
                  <c:v>90.13081411095618</c:v>
                </c:pt>
                <c:pt idx="2">
                  <c:v>97.095324297591731</c:v>
                </c:pt>
                <c:pt idx="3">
                  <c:v>108.50518615975332</c:v>
                </c:pt>
                <c:pt idx="4">
                  <c:v>93.012550158897028</c:v>
                </c:pt>
                <c:pt idx="5">
                  <c:v>88.110199712989797</c:v>
                </c:pt>
                <c:pt idx="6">
                  <c:v>96.683647719314465</c:v>
                </c:pt>
                <c:pt idx="7">
                  <c:v>97.862024714016357</c:v>
                </c:pt>
                <c:pt idx="8">
                  <c:v>75.465308115996407</c:v>
                </c:pt>
                <c:pt idx="9">
                  <c:v>285.59787495647464</c:v>
                </c:pt>
                <c:pt idx="10">
                  <c:v>616.31768758811336</c:v>
                </c:pt>
                <c:pt idx="11">
                  <c:v>95.720551137106185</c:v>
                </c:pt>
                <c:pt idx="12">
                  <c:v>91.343182749736016</c:v>
                </c:pt>
                <c:pt idx="13">
                  <c:v>161.80786092330402</c:v>
                </c:pt>
                <c:pt idx="14">
                  <c:v>94.878313733841694</c:v>
                </c:pt>
                <c:pt idx="15">
                  <c:v>118.29100280485783</c:v>
                </c:pt>
                <c:pt idx="16">
                  <c:v>221.88242655704857</c:v>
                </c:pt>
                <c:pt idx="17">
                  <c:v>589.88351904350247</c:v>
                </c:pt>
                <c:pt idx="18">
                  <c:v>88.971321362964261</c:v>
                </c:pt>
                <c:pt idx="19">
                  <c:v>227.48727098056656</c:v>
                </c:pt>
                <c:pt idx="20">
                  <c:v>116.86335375358438</c:v>
                </c:pt>
                <c:pt idx="21">
                  <c:v>266.58521536888065</c:v>
                </c:pt>
                <c:pt idx="22">
                  <c:v>113.60393277144421</c:v>
                </c:pt>
                <c:pt idx="23">
                  <c:v>225.19094658063466</c:v>
                </c:pt>
                <c:pt idx="24">
                  <c:v>750.75086306702087</c:v>
                </c:pt>
                <c:pt idx="25">
                  <c:v>86.746757100530232</c:v>
                </c:pt>
                <c:pt idx="26">
                  <c:v>448.0930410463921</c:v>
                </c:pt>
                <c:pt idx="27">
                  <c:v>457.79576700597272</c:v>
                </c:pt>
                <c:pt idx="28">
                  <c:v>110.86194014915711</c:v>
                </c:pt>
                <c:pt idx="29">
                  <c:v>92.884137281269261</c:v>
                </c:pt>
                <c:pt idx="30">
                  <c:v>76.824973879113969</c:v>
                </c:pt>
                <c:pt idx="31">
                  <c:v>470.3311299720483</c:v>
                </c:pt>
                <c:pt idx="32">
                  <c:v>527.8449917519215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40-4545-BFF9-F2D50B998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173136"/>
        <c:axId val="1303173616"/>
      </c:scatterChart>
      <c:valAx>
        <c:axId val="1303173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Site Visits</a:t>
                </a:r>
              </a:p>
            </c:rich>
          </c:tx>
          <c:overlay val="0"/>
        </c:title>
        <c:numFmt formatCode="_-* #\ ##0_-;\-* #\ ##0_-;_-* &quot;-&quot;??_-;_-@_-" sourceLinked="1"/>
        <c:majorTickMark val="out"/>
        <c:minorTickMark val="none"/>
        <c:tickLblPos val="nextTo"/>
        <c:crossAx val="1303173616"/>
        <c:crosses val="autoZero"/>
        <c:crossBetween val="midCat"/>
      </c:valAx>
      <c:valAx>
        <c:axId val="13031736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Orders</a:t>
                </a:r>
              </a:p>
            </c:rich>
          </c:tx>
          <c:overlay val="0"/>
        </c:title>
        <c:numFmt formatCode="_-* #\ ##0_-;\-* #\ ##0_-;_-* &quot;-&quot;??_-;_-@_-" sourceLinked="1"/>
        <c:majorTickMark val="out"/>
        <c:minorTickMark val="none"/>
        <c:tickLblPos val="nextTo"/>
        <c:crossAx val="13031731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7</xdr:row>
      <xdr:rowOff>103186</xdr:rowOff>
    </xdr:from>
    <xdr:to>
      <xdr:col>12</xdr:col>
      <xdr:colOff>111125</xdr:colOff>
      <xdr:row>28</xdr:row>
      <xdr:rowOff>174624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9F10DB-AD07-5F25-DE00-4EA3B3478B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549275</xdr:colOff>
      <xdr:row>30</xdr:row>
      <xdr:rowOff>77787</xdr:rowOff>
    </xdr:from>
    <xdr:to>
      <xdr:col>12</xdr:col>
      <xdr:colOff>28575</xdr:colOff>
      <xdr:row>41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BE96A6-B4ED-1FFD-B5B7-70FD53D4E5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558800</xdr:colOff>
      <xdr:row>2</xdr:row>
      <xdr:rowOff>34925</xdr:rowOff>
    </xdr:from>
    <xdr:to>
      <xdr:col>11</xdr:col>
      <xdr:colOff>495300</xdr:colOff>
      <xdr:row>5</xdr:row>
      <xdr:rowOff>139700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B0963B2-8E26-433E-4474-855AC10B8FDB}"/>
            </a:ext>
          </a:extLst>
        </xdr:cNvPr>
        <xdr:cNvSpPr txBox="1"/>
      </xdr:nvSpPr>
      <xdr:spPr>
        <a:xfrm>
          <a:off x="558800" y="596900"/>
          <a:ext cx="6975475" cy="647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kern="1200"/>
            <a:t>[Insert a summary of findings here. Regression analysis is a statistical method used to examine the relationship between a dependent variable and one or more independent variables. It predicts the dependent variable's value based on changes in the independent variables.]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238125</xdr:colOff>
      <xdr:row>1</xdr:row>
      <xdr:rowOff>180975</xdr:rowOff>
    </xdr:from>
    <xdr:to>
      <xdr:col>21</xdr:col>
      <xdr:colOff>238125</xdr:colOff>
      <xdr:row>11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780685E-1C70-D860-C26C-A598D361D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66674</xdr:colOff>
      <xdr:row>14</xdr:row>
      <xdr:rowOff>9525</xdr:rowOff>
    </xdr:from>
    <xdr:to>
      <xdr:col>26</xdr:col>
      <xdr:colOff>285749</xdr:colOff>
      <xdr:row>27</xdr:row>
      <xdr:rowOff>142875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139AF7F-6F8F-5AF1-7618-0EE68AF36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C1B8-29AC-4C92-BE74-D76A54A30ECD}">
  <dimension ref="B2:L40"/>
  <sheetViews>
    <sheetView showGridLines="0" zoomScale="130" zoomScaleNormal="130" workbookViewId="0">
      <selection activeCell="C7" sqref="C7:D40"/>
    </sheetView>
  </sheetViews>
  <sheetFormatPr defaultRowHeight="15" x14ac:dyDescent="0.25"/>
  <cols>
    <col min="1" max="1" width="3" customWidth="1"/>
    <col min="2" max="2" width="11.140625" customWidth="1"/>
    <col min="3" max="3" width="11.140625" bestFit="1" customWidth="1"/>
  </cols>
  <sheetData>
    <row r="2" spans="2:12" ht="15.75" x14ac:dyDescent="0.25">
      <c r="B2" s="4" t="s">
        <v>38</v>
      </c>
      <c r="C2" s="4"/>
      <c r="D2" s="4"/>
      <c r="E2" s="4"/>
      <c r="F2" s="4"/>
      <c r="G2" s="4"/>
      <c r="H2" s="4"/>
      <c r="I2" s="4"/>
      <c r="J2" s="4"/>
      <c r="K2" s="4"/>
      <c r="L2" s="4"/>
    </row>
    <row r="7" spans="2:12" x14ac:dyDescent="0.25">
      <c r="B7" s="5" t="s">
        <v>21</v>
      </c>
      <c r="C7" s="6" t="s">
        <v>23</v>
      </c>
      <c r="D7" s="6" t="s">
        <v>22</v>
      </c>
      <c r="F7" s="5" t="s">
        <v>36</v>
      </c>
      <c r="G7" s="3"/>
      <c r="H7" s="3"/>
      <c r="I7" s="3"/>
      <c r="J7" s="3"/>
      <c r="K7" s="3"/>
      <c r="L7" s="3"/>
    </row>
    <row r="8" spans="2:12" x14ac:dyDescent="0.25">
      <c r="B8" t="s">
        <v>26</v>
      </c>
      <c r="C8" s="1">
        <v>754</v>
      </c>
      <c r="D8" s="1">
        <v>4</v>
      </c>
    </row>
    <row r="9" spans="2:12" x14ac:dyDescent="0.25">
      <c r="B9" t="s">
        <v>25</v>
      </c>
      <c r="C9" s="1">
        <v>5137</v>
      </c>
      <c r="D9" s="1">
        <v>27</v>
      </c>
    </row>
    <row r="10" spans="2:12" x14ac:dyDescent="0.25">
      <c r="B10" s="2" t="s">
        <v>24</v>
      </c>
      <c r="C10" s="1">
        <v>6981</v>
      </c>
      <c r="D10" s="1">
        <v>37</v>
      </c>
    </row>
    <row r="11" spans="2:12" x14ac:dyDescent="0.25">
      <c r="B11" s="2" t="s">
        <v>0</v>
      </c>
      <c r="C11" s="1">
        <v>10002</v>
      </c>
      <c r="D11" s="1">
        <v>21</v>
      </c>
    </row>
    <row r="12" spans="2:12" x14ac:dyDescent="0.25">
      <c r="B12" s="2" t="s">
        <v>27</v>
      </c>
      <c r="C12" s="1">
        <v>5900</v>
      </c>
      <c r="D12" s="1">
        <v>44</v>
      </c>
    </row>
    <row r="13" spans="2:12" x14ac:dyDescent="0.25">
      <c r="B13" s="2" t="s">
        <v>1</v>
      </c>
      <c r="C13" s="1">
        <v>4602</v>
      </c>
      <c r="D13" s="1">
        <v>17</v>
      </c>
    </row>
    <row r="14" spans="2:12" x14ac:dyDescent="0.25">
      <c r="B14" s="2" t="s">
        <v>28</v>
      </c>
      <c r="C14" s="1">
        <v>6872</v>
      </c>
      <c r="D14" s="1">
        <v>25</v>
      </c>
    </row>
    <row r="15" spans="2:12" x14ac:dyDescent="0.25">
      <c r="B15" s="2" t="s">
        <v>2</v>
      </c>
      <c r="C15" s="1">
        <v>7184</v>
      </c>
      <c r="D15" s="1">
        <v>39</v>
      </c>
    </row>
    <row r="16" spans="2:12" x14ac:dyDescent="0.25">
      <c r="B16" s="2" t="s">
        <v>29</v>
      </c>
      <c r="C16" s="1">
        <v>1254</v>
      </c>
      <c r="D16" s="1">
        <v>5</v>
      </c>
    </row>
    <row r="17" spans="2:12" x14ac:dyDescent="0.25">
      <c r="B17" s="2" t="s">
        <v>30</v>
      </c>
      <c r="C17" s="1">
        <v>56891</v>
      </c>
      <c r="D17" s="1">
        <v>218</v>
      </c>
    </row>
    <row r="18" spans="2:12" x14ac:dyDescent="0.25">
      <c r="B18" s="2" t="s">
        <v>3</v>
      </c>
      <c r="C18" s="1">
        <v>144456</v>
      </c>
      <c r="D18" s="1">
        <v>162</v>
      </c>
    </row>
    <row r="19" spans="2:12" x14ac:dyDescent="0.25">
      <c r="B19" s="2" t="s">
        <v>4</v>
      </c>
      <c r="C19" s="1">
        <v>6617</v>
      </c>
      <c r="D19" s="1">
        <v>142</v>
      </c>
    </row>
    <row r="20" spans="2:12" x14ac:dyDescent="0.25">
      <c r="B20" s="2" t="s">
        <v>5</v>
      </c>
      <c r="C20" s="1">
        <v>5458</v>
      </c>
      <c r="D20" s="1">
        <v>37</v>
      </c>
    </row>
    <row r="21" spans="2:12" x14ac:dyDescent="0.25">
      <c r="B21" s="2" t="s">
        <v>6</v>
      </c>
      <c r="C21" s="1">
        <v>24115</v>
      </c>
      <c r="D21" s="1">
        <v>119</v>
      </c>
    </row>
    <row r="22" spans="2:12" x14ac:dyDescent="0.25">
      <c r="B22" s="2" t="s">
        <v>7</v>
      </c>
      <c r="C22" s="1">
        <v>6394</v>
      </c>
      <c r="D22" s="1">
        <v>43</v>
      </c>
    </row>
    <row r="23" spans="2:12" x14ac:dyDescent="0.25">
      <c r="B23" s="2" t="s">
        <v>31</v>
      </c>
      <c r="C23" s="1">
        <v>12593</v>
      </c>
      <c r="D23" s="1">
        <v>115</v>
      </c>
    </row>
    <row r="24" spans="2:12" x14ac:dyDescent="0.25">
      <c r="B24" s="2" t="s">
        <v>32</v>
      </c>
      <c r="C24" s="1">
        <v>40021</v>
      </c>
      <c r="D24" s="1">
        <v>203</v>
      </c>
    </row>
    <row r="25" spans="2:12" x14ac:dyDescent="0.25">
      <c r="B25" s="2" t="s">
        <v>8</v>
      </c>
      <c r="C25" s="1">
        <v>137457</v>
      </c>
      <c r="D25" s="1">
        <v>637</v>
      </c>
    </row>
    <row r="26" spans="2:12" x14ac:dyDescent="0.25">
      <c r="B26" s="2" t="s">
        <v>9</v>
      </c>
      <c r="C26" s="1">
        <v>4830</v>
      </c>
      <c r="D26" s="1">
        <v>391</v>
      </c>
    </row>
    <row r="27" spans="2:12" x14ac:dyDescent="0.25">
      <c r="B27" s="2" t="s">
        <v>10</v>
      </c>
      <c r="C27" s="1">
        <v>41505</v>
      </c>
      <c r="D27" s="1">
        <v>151</v>
      </c>
    </row>
    <row r="28" spans="2:12" x14ac:dyDescent="0.25">
      <c r="B28" s="2" t="s">
        <v>11</v>
      </c>
      <c r="C28" s="1">
        <v>12215</v>
      </c>
      <c r="D28" s="1">
        <v>176</v>
      </c>
    </row>
    <row r="29" spans="2:12" x14ac:dyDescent="0.25">
      <c r="B29" s="2" t="s">
        <v>12</v>
      </c>
      <c r="C29" s="1">
        <v>51857</v>
      </c>
      <c r="D29" s="1">
        <v>159</v>
      </c>
    </row>
    <row r="30" spans="2:12" x14ac:dyDescent="0.25">
      <c r="B30" s="2" t="s">
        <v>13</v>
      </c>
      <c r="C30" s="1">
        <v>11352</v>
      </c>
      <c r="D30" s="1">
        <v>110</v>
      </c>
      <c r="F30" s="5" t="s">
        <v>37</v>
      </c>
      <c r="G30" s="5"/>
      <c r="H30" s="5"/>
      <c r="I30" s="5"/>
      <c r="J30" s="5"/>
      <c r="K30" s="5"/>
      <c r="L30" s="5"/>
    </row>
    <row r="31" spans="2:12" x14ac:dyDescent="0.25">
      <c r="B31" s="2" t="s">
        <v>33</v>
      </c>
      <c r="C31" s="1">
        <v>40897</v>
      </c>
      <c r="D31" s="1">
        <v>362</v>
      </c>
    </row>
    <row r="32" spans="2:12" x14ac:dyDescent="0.25">
      <c r="B32" s="2" t="s">
        <v>14</v>
      </c>
      <c r="C32" s="1">
        <v>180050</v>
      </c>
      <c r="D32" s="1">
        <v>799</v>
      </c>
    </row>
    <row r="33" spans="2:4" x14ac:dyDescent="0.25">
      <c r="B33" s="2" t="s">
        <v>15</v>
      </c>
      <c r="C33" s="1">
        <v>4241</v>
      </c>
      <c r="D33" s="1">
        <v>83</v>
      </c>
    </row>
    <row r="34" spans="2:4" x14ac:dyDescent="0.25">
      <c r="B34" s="2" t="s">
        <v>16</v>
      </c>
      <c r="C34" s="1">
        <v>99915</v>
      </c>
      <c r="D34" s="1">
        <v>740</v>
      </c>
    </row>
    <row r="35" spans="2:4" x14ac:dyDescent="0.25">
      <c r="B35" s="2" t="s">
        <v>17</v>
      </c>
      <c r="C35" s="1">
        <v>102484</v>
      </c>
      <c r="D35" s="1">
        <v>822</v>
      </c>
    </row>
    <row r="36" spans="2:4" x14ac:dyDescent="0.25">
      <c r="B36" s="2" t="s">
        <v>18</v>
      </c>
      <c r="C36" s="1">
        <v>10626</v>
      </c>
      <c r="D36" s="1">
        <v>275</v>
      </c>
    </row>
    <row r="37" spans="2:4" x14ac:dyDescent="0.25">
      <c r="B37" s="2" t="s">
        <v>19</v>
      </c>
      <c r="C37" s="1">
        <v>5866</v>
      </c>
      <c r="D37" s="1">
        <v>84</v>
      </c>
    </row>
    <row r="38" spans="2:4" x14ac:dyDescent="0.25">
      <c r="B38" s="2" t="s">
        <v>20</v>
      </c>
      <c r="C38" s="1">
        <v>1614</v>
      </c>
      <c r="D38" s="1">
        <v>180</v>
      </c>
    </row>
    <row r="39" spans="2:4" x14ac:dyDescent="0.25">
      <c r="B39" s="2" t="s">
        <v>34</v>
      </c>
      <c r="C39" s="1">
        <v>105803</v>
      </c>
      <c r="D39" s="1">
        <v>425</v>
      </c>
    </row>
    <row r="40" spans="2:4" x14ac:dyDescent="0.25">
      <c r="B40" s="2" t="s">
        <v>35</v>
      </c>
      <c r="C40" s="1">
        <v>121031</v>
      </c>
      <c r="D40" s="1">
        <v>505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F1E04-42C3-4F8B-8FCA-1D8D9A9F7812}">
  <dimension ref="A1:O58"/>
  <sheetViews>
    <sheetView tabSelected="1" workbookViewId="0">
      <selection activeCell="I15" sqref="I15"/>
    </sheetView>
  </sheetViews>
  <sheetFormatPr defaultRowHeight="15" x14ac:dyDescent="0.25"/>
  <cols>
    <col min="1" max="1" width="11.5703125" customWidth="1"/>
    <col min="7" max="7" width="13.5703125" customWidth="1"/>
    <col min="8" max="8" width="20.42578125" customWidth="1"/>
    <col min="9" max="9" width="19.7109375" customWidth="1"/>
    <col min="10" max="10" width="23.140625" customWidth="1"/>
  </cols>
  <sheetData>
    <row r="1" spans="1:12" x14ac:dyDescent="0.25">
      <c r="A1" s="6" t="s">
        <v>23</v>
      </c>
      <c r="B1" s="6" t="s">
        <v>22</v>
      </c>
      <c r="J1" t="s">
        <v>68</v>
      </c>
    </row>
    <row r="2" spans="1:12" x14ac:dyDescent="0.25">
      <c r="A2" s="1">
        <v>754</v>
      </c>
      <c r="B2" s="1">
        <v>4</v>
      </c>
      <c r="G2" t="s">
        <v>39</v>
      </c>
    </row>
    <row r="3" spans="1:12" ht="15.75" thickBot="1" x14ac:dyDescent="0.3">
      <c r="A3" s="1">
        <v>5137</v>
      </c>
      <c r="B3" s="1">
        <v>27</v>
      </c>
    </row>
    <row r="4" spans="1:12" x14ac:dyDescent="0.25">
      <c r="A4" s="1">
        <v>6981</v>
      </c>
      <c r="B4" s="1">
        <v>37</v>
      </c>
      <c r="G4" s="9" t="s">
        <v>40</v>
      </c>
      <c r="H4" s="9"/>
    </row>
    <row r="5" spans="1:12" x14ac:dyDescent="0.25">
      <c r="A5" s="1">
        <v>10002</v>
      </c>
      <c r="B5" s="1">
        <v>21</v>
      </c>
      <c r="G5" t="s">
        <v>41</v>
      </c>
      <c r="H5">
        <v>0.79993826212283159</v>
      </c>
    </row>
    <row r="6" spans="1:12" x14ac:dyDescent="0.25">
      <c r="A6" s="1">
        <v>5900</v>
      </c>
      <c r="B6" s="1">
        <v>44</v>
      </c>
      <c r="G6" t="s">
        <v>42</v>
      </c>
      <c r="H6">
        <v>0.63990122320809606</v>
      </c>
    </row>
    <row r="7" spans="1:12" x14ac:dyDescent="0.25">
      <c r="A7" s="1">
        <v>4602</v>
      </c>
      <c r="B7" s="1">
        <v>17</v>
      </c>
      <c r="G7" t="s">
        <v>43</v>
      </c>
      <c r="H7">
        <v>0.62828513363416372</v>
      </c>
    </row>
    <row r="8" spans="1:12" x14ac:dyDescent="0.25">
      <c r="A8" s="1">
        <v>6872</v>
      </c>
      <c r="B8" s="1">
        <v>25</v>
      </c>
      <c r="G8" t="s">
        <v>44</v>
      </c>
      <c r="H8">
        <v>145.42644561054126</v>
      </c>
    </row>
    <row r="9" spans="1:12" ht="15.75" thickBot="1" x14ac:dyDescent="0.3">
      <c r="A9" s="1">
        <v>7184</v>
      </c>
      <c r="B9" s="1">
        <v>39</v>
      </c>
      <c r="G9" s="7" t="s">
        <v>45</v>
      </c>
      <c r="H9" s="7">
        <v>33</v>
      </c>
    </row>
    <row r="10" spans="1:12" x14ac:dyDescent="0.25">
      <c r="A10" s="1">
        <v>1254</v>
      </c>
      <c r="B10" s="1">
        <v>5</v>
      </c>
    </row>
    <row r="11" spans="1:12" ht="15.75" thickBot="1" x14ac:dyDescent="0.3">
      <c r="A11" s="1">
        <v>56891</v>
      </c>
      <c r="B11" s="1">
        <v>218</v>
      </c>
      <c r="G11" t="s">
        <v>46</v>
      </c>
    </row>
    <row r="12" spans="1:12" x14ac:dyDescent="0.25">
      <c r="A12" s="1">
        <v>144456</v>
      </c>
      <c r="B12" s="1">
        <v>162</v>
      </c>
      <c r="G12" s="8"/>
      <c r="H12" s="8" t="s">
        <v>51</v>
      </c>
      <c r="I12" s="8" t="s">
        <v>52</v>
      </c>
      <c r="J12" s="8" t="s">
        <v>53</v>
      </c>
      <c r="K12" s="8" t="s">
        <v>54</v>
      </c>
      <c r="L12" s="8" t="s">
        <v>55</v>
      </c>
    </row>
    <row r="13" spans="1:12" x14ac:dyDescent="0.25">
      <c r="A13" s="1">
        <v>6617</v>
      </c>
      <c r="B13" s="1">
        <v>142</v>
      </c>
      <c r="G13" t="s">
        <v>47</v>
      </c>
      <c r="H13">
        <v>1</v>
      </c>
      <c r="I13">
        <v>1165037.1315811279</v>
      </c>
      <c r="J13">
        <v>1165037.1315811279</v>
      </c>
      <c r="K13">
        <v>55.087490427423653</v>
      </c>
      <c r="L13">
        <v>2.3286533332893301E-8</v>
      </c>
    </row>
    <row r="14" spans="1:12" x14ac:dyDescent="0.25">
      <c r="A14" s="1">
        <v>5458</v>
      </c>
      <c r="B14" s="1">
        <v>37</v>
      </c>
      <c r="G14" t="s">
        <v>48</v>
      </c>
      <c r="H14">
        <v>31</v>
      </c>
      <c r="I14">
        <v>655614.38357038726</v>
      </c>
      <c r="J14">
        <v>21148.851082915717</v>
      </c>
      <c r="K14" s="11">
        <f>J13/J14</f>
        <v>55.087490427423653</v>
      </c>
    </row>
    <row r="15" spans="1:12" ht="15.75" thickBot="1" x14ac:dyDescent="0.3">
      <c r="A15" s="1">
        <v>24115</v>
      </c>
      <c r="B15" s="1">
        <v>119</v>
      </c>
      <c r="G15" s="7" t="s">
        <v>49</v>
      </c>
      <c r="H15" s="7">
        <v>32</v>
      </c>
      <c r="I15" s="7">
        <v>1820651.5151515151</v>
      </c>
      <c r="J15" s="7"/>
      <c r="K15" s="7"/>
      <c r="L15" s="7"/>
    </row>
    <row r="16" spans="1:12" ht="15.75" thickBot="1" x14ac:dyDescent="0.3">
      <c r="A16" s="1">
        <v>6394</v>
      </c>
      <c r="B16" s="1">
        <v>343</v>
      </c>
    </row>
    <row r="17" spans="1:15" x14ac:dyDescent="0.25">
      <c r="A17" s="1">
        <v>12593</v>
      </c>
      <c r="B17" s="1">
        <v>115</v>
      </c>
      <c r="G17" s="8"/>
      <c r="H17" s="8" t="s">
        <v>56</v>
      </c>
      <c r="I17" s="8" t="s">
        <v>44</v>
      </c>
      <c r="J17" s="8" t="s">
        <v>57</v>
      </c>
      <c r="K17" s="8" t="s">
        <v>58</v>
      </c>
      <c r="L17" s="8" t="s">
        <v>59</v>
      </c>
      <c r="M17" s="8" t="s">
        <v>60</v>
      </c>
      <c r="N17" s="8" t="s">
        <v>61</v>
      </c>
      <c r="O17" s="8" t="s">
        <v>62</v>
      </c>
    </row>
    <row r="18" spans="1:15" x14ac:dyDescent="0.25">
      <c r="A18" s="1">
        <v>40021</v>
      </c>
      <c r="B18" s="1">
        <v>203</v>
      </c>
      <c r="G18" t="s">
        <v>50</v>
      </c>
      <c r="H18">
        <v>70.729139041136875</v>
      </c>
      <c r="I18">
        <v>32.072044270321598</v>
      </c>
      <c r="J18">
        <v>2.2053205728013809</v>
      </c>
      <c r="K18">
        <v>3.4977335636214184E-2</v>
      </c>
      <c r="L18">
        <v>5.3177734983950984</v>
      </c>
      <c r="M18">
        <v>136.14050458387865</v>
      </c>
      <c r="N18">
        <v>5.3177734983950984</v>
      </c>
      <c r="O18">
        <v>136.14050458387865</v>
      </c>
    </row>
    <row r="19" spans="1:15" ht="15.75" thickBot="1" x14ac:dyDescent="0.3">
      <c r="A19" s="1">
        <v>137457</v>
      </c>
      <c r="B19" s="1">
        <v>637</v>
      </c>
      <c r="G19" s="7" t="s">
        <v>23</v>
      </c>
      <c r="H19" s="7">
        <v>3.7768493419932463E-3</v>
      </c>
      <c r="I19" s="7">
        <v>5.0886568697149244E-4</v>
      </c>
      <c r="J19" s="7">
        <v>7.4220947465943645</v>
      </c>
      <c r="K19" s="7">
        <v>2.3286533332893297E-8</v>
      </c>
      <c r="L19" s="7">
        <v>2.739010931005142E-3</v>
      </c>
      <c r="M19" s="7">
        <v>4.8146877529813507E-3</v>
      </c>
      <c r="N19" s="7">
        <v>2.739010931005142E-3</v>
      </c>
      <c r="O19" s="7">
        <v>4.8146877529813507E-3</v>
      </c>
    </row>
    <row r="20" spans="1:15" x14ac:dyDescent="0.25">
      <c r="A20" s="1">
        <v>4830</v>
      </c>
      <c r="B20" s="1">
        <v>391</v>
      </c>
    </row>
    <row r="21" spans="1:15" x14ac:dyDescent="0.25">
      <c r="A21" s="1">
        <v>41505</v>
      </c>
      <c r="B21" s="1">
        <v>151</v>
      </c>
    </row>
    <row r="22" spans="1:15" x14ac:dyDescent="0.25">
      <c r="A22" s="1">
        <v>12215</v>
      </c>
      <c r="B22" s="1">
        <v>176</v>
      </c>
    </row>
    <row r="23" spans="1:15" x14ac:dyDescent="0.25">
      <c r="A23" s="1">
        <v>51857</v>
      </c>
      <c r="B23" s="1">
        <v>159</v>
      </c>
      <c r="G23" t="s">
        <v>63</v>
      </c>
    </row>
    <row r="24" spans="1:15" ht="15.75" thickBot="1" x14ac:dyDescent="0.3">
      <c r="A24" s="1">
        <v>11352</v>
      </c>
      <c r="B24" s="1">
        <v>110</v>
      </c>
    </row>
    <row r="25" spans="1:15" x14ac:dyDescent="0.25">
      <c r="A25" s="1">
        <v>40897</v>
      </c>
      <c r="B25" s="1">
        <v>362</v>
      </c>
      <c r="G25" s="8" t="s">
        <v>64</v>
      </c>
      <c r="H25" s="8" t="s">
        <v>65</v>
      </c>
      <c r="I25" s="8" t="s">
        <v>66</v>
      </c>
      <c r="J25" s="8" t="s">
        <v>67</v>
      </c>
    </row>
    <row r="26" spans="1:15" x14ac:dyDescent="0.25">
      <c r="A26" s="1">
        <v>180050</v>
      </c>
      <c r="B26" s="1">
        <v>799</v>
      </c>
      <c r="G26">
        <v>1</v>
      </c>
      <c r="H26">
        <v>73.57688344499978</v>
      </c>
      <c r="I26">
        <v>-69.57688344499978</v>
      </c>
      <c r="J26">
        <v>-0.48608892264100967</v>
      </c>
      <c r="K26" s="1">
        <v>4</v>
      </c>
      <c r="L26" s="10">
        <f>K26-H26</f>
        <v>-69.57688344499978</v>
      </c>
    </row>
    <row r="27" spans="1:15" x14ac:dyDescent="0.25">
      <c r="A27" s="1">
        <v>4241</v>
      </c>
      <c r="B27" s="1">
        <v>83</v>
      </c>
      <c r="G27">
        <v>2</v>
      </c>
      <c r="H27">
        <v>90.13081411095618</v>
      </c>
      <c r="I27">
        <v>-63.13081411095618</v>
      </c>
      <c r="J27">
        <v>-0.4410543832550739</v>
      </c>
      <c r="K27" s="1">
        <v>27</v>
      </c>
      <c r="L27" s="10">
        <f t="shared" ref="L27:L58" si="0">K27-H27</f>
        <v>-63.13081411095618</v>
      </c>
    </row>
    <row r="28" spans="1:15" x14ac:dyDescent="0.25">
      <c r="A28" s="1">
        <v>99915</v>
      </c>
      <c r="B28" s="1">
        <v>740</v>
      </c>
      <c r="G28">
        <v>3</v>
      </c>
      <c r="H28">
        <v>97.095324297591731</v>
      </c>
      <c r="I28">
        <v>-60.095324297591731</v>
      </c>
      <c r="J28">
        <v>-0.41984736879843365</v>
      </c>
      <c r="K28" s="1">
        <v>37</v>
      </c>
      <c r="L28" s="10">
        <f t="shared" si="0"/>
        <v>-60.095324297591731</v>
      </c>
    </row>
    <row r="29" spans="1:15" x14ac:dyDescent="0.25">
      <c r="A29" s="1">
        <v>102484</v>
      </c>
      <c r="B29" s="1">
        <v>822</v>
      </c>
      <c r="G29">
        <v>4</v>
      </c>
      <c r="H29">
        <v>108.50518615975332</v>
      </c>
      <c r="I29">
        <v>-87.505186159753322</v>
      </c>
      <c r="J29">
        <v>-0.61134243961242463</v>
      </c>
      <c r="K29" s="1">
        <v>21</v>
      </c>
      <c r="L29" s="10">
        <f t="shared" si="0"/>
        <v>-87.505186159753322</v>
      </c>
    </row>
    <row r="30" spans="1:15" x14ac:dyDescent="0.25">
      <c r="A30" s="1">
        <v>10626</v>
      </c>
      <c r="B30" s="1">
        <v>275</v>
      </c>
      <c r="G30">
        <v>5</v>
      </c>
      <c r="H30">
        <v>93.012550158897028</v>
      </c>
      <c r="I30">
        <v>-49.012550158897028</v>
      </c>
      <c r="J30">
        <v>-0.34241915594652689</v>
      </c>
      <c r="K30" s="1">
        <v>44</v>
      </c>
      <c r="L30" s="10">
        <f t="shared" si="0"/>
        <v>-49.012550158897028</v>
      </c>
    </row>
    <row r="31" spans="1:15" x14ac:dyDescent="0.25">
      <c r="A31" s="1">
        <v>5866</v>
      </c>
      <c r="B31" s="1">
        <v>284</v>
      </c>
      <c r="G31">
        <v>6</v>
      </c>
      <c r="H31">
        <v>88.110199712989797</v>
      </c>
      <c r="I31">
        <v>-71.110199712989797</v>
      </c>
      <c r="J31">
        <v>-0.49680121695301893</v>
      </c>
      <c r="K31" s="1">
        <v>17</v>
      </c>
      <c r="L31" s="10">
        <f t="shared" si="0"/>
        <v>-71.110199712989797</v>
      </c>
    </row>
    <row r="32" spans="1:15" x14ac:dyDescent="0.25">
      <c r="A32" s="1">
        <v>1614</v>
      </c>
      <c r="B32" s="1">
        <v>180</v>
      </c>
      <c r="G32">
        <v>7</v>
      </c>
      <c r="H32">
        <v>96.683647719314465</v>
      </c>
      <c r="I32">
        <v>-71.683647719314465</v>
      </c>
      <c r="J32">
        <v>-0.50080752924789684</v>
      </c>
      <c r="K32" s="1">
        <v>25</v>
      </c>
      <c r="L32" s="10">
        <f t="shared" si="0"/>
        <v>-71.683647719314465</v>
      </c>
    </row>
    <row r="33" spans="1:12" x14ac:dyDescent="0.25">
      <c r="A33" s="1">
        <v>105803</v>
      </c>
      <c r="B33" s="1">
        <v>425</v>
      </c>
      <c r="G33">
        <v>8</v>
      </c>
      <c r="H33">
        <v>97.862024714016357</v>
      </c>
      <c r="I33">
        <v>-58.862024714016357</v>
      </c>
      <c r="J33">
        <v>-0.41123109804598384</v>
      </c>
      <c r="K33" s="1">
        <v>39</v>
      </c>
      <c r="L33" s="10">
        <f t="shared" si="0"/>
        <v>-58.862024714016357</v>
      </c>
    </row>
    <row r="34" spans="1:12" x14ac:dyDescent="0.25">
      <c r="A34" s="1">
        <v>121031</v>
      </c>
      <c r="B34" s="1">
        <v>505</v>
      </c>
      <c r="G34">
        <v>9</v>
      </c>
      <c r="H34">
        <v>75.465308115996407</v>
      </c>
      <c r="I34">
        <v>-70.465308115996407</v>
      </c>
      <c r="J34">
        <v>-0.49229577425306587</v>
      </c>
      <c r="K34" s="1">
        <v>5</v>
      </c>
      <c r="L34" s="10">
        <f t="shared" si="0"/>
        <v>-70.465308115996407</v>
      </c>
    </row>
    <row r="35" spans="1:12" x14ac:dyDescent="0.25">
      <c r="G35">
        <v>10</v>
      </c>
      <c r="H35">
        <v>285.59787495647464</v>
      </c>
      <c r="I35">
        <v>-67.597874956474641</v>
      </c>
      <c r="J35">
        <v>-0.47226286351829783</v>
      </c>
      <c r="K35" s="1">
        <v>218</v>
      </c>
      <c r="L35" s="10">
        <f t="shared" si="0"/>
        <v>-67.597874956474641</v>
      </c>
    </row>
    <row r="36" spans="1:12" x14ac:dyDescent="0.25">
      <c r="G36">
        <v>11</v>
      </c>
      <c r="H36">
        <v>616.31768758811336</v>
      </c>
      <c r="I36">
        <v>-454.31768758811336</v>
      </c>
      <c r="J36">
        <v>-3.1740253998446617</v>
      </c>
      <c r="K36" s="1">
        <v>162</v>
      </c>
      <c r="L36" s="10">
        <f t="shared" si="0"/>
        <v>-454.31768758811336</v>
      </c>
    </row>
    <row r="37" spans="1:12" x14ac:dyDescent="0.25">
      <c r="G37">
        <v>12</v>
      </c>
      <c r="H37">
        <v>95.720551137106185</v>
      </c>
      <c r="I37">
        <v>46.279448862893815</v>
      </c>
      <c r="J37">
        <v>0.32332473552033536</v>
      </c>
      <c r="K37" s="1">
        <v>142</v>
      </c>
      <c r="L37" s="10">
        <f t="shared" si="0"/>
        <v>46.279448862893815</v>
      </c>
    </row>
    <row r="38" spans="1:12" x14ac:dyDescent="0.25">
      <c r="G38">
        <v>13</v>
      </c>
      <c r="H38">
        <v>91.343182749736016</v>
      </c>
      <c r="I38">
        <v>-54.343182749736016</v>
      </c>
      <c r="J38">
        <v>-0.37966085641913111</v>
      </c>
      <c r="K38" s="1">
        <v>37</v>
      </c>
      <c r="L38" s="10">
        <f t="shared" si="0"/>
        <v>-54.343182749736016</v>
      </c>
    </row>
    <row r="39" spans="1:12" x14ac:dyDescent="0.25">
      <c r="G39">
        <v>14</v>
      </c>
      <c r="H39">
        <v>161.80786092330402</v>
      </c>
      <c r="I39">
        <v>-42.80786092330402</v>
      </c>
      <c r="J39">
        <v>-0.29907098401761556</v>
      </c>
      <c r="K39" s="1">
        <v>119</v>
      </c>
      <c r="L39" s="10">
        <f t="shared" si="0"/>
        <v>-42.80786092330402</v>
      </c>
    </row>
    <row r="40" spans="1:12" x14ac:dyDescent="0.25">
      <c r="G40">
        <v>15</v>
      </c>
      <c r="H40">
        <v>94.878313733841694</v>
      </c>
      <c r="I40">
        <v>-51.878313733841694</v>
      </c>
      <c r="J40">
        <v>-0.36244040236797481</v>
      </c>
      <c r="K40" s="1">
        <v>43</v>
      </c>
      <c r="L40" s="10">
        <f t="shared" si="0"/>
        <v>-51.878313733841694</v>
      </c>
    </row>
    <row r="41" spans="1:12" x14ac:dyDescent="0.25">
      <c r="G41">
        <v>16</v>
      </c>
      <c r="H41">
        <v>118.29100280485783</v>
      </c>
      <c r="I41">
        <v>-3.2910028048578255</v>
      </c>
      <c r="J41">
        <v>-2.2992119345018564E-2</v>
      </c>
      <c r="K41" s="1">
        <v>115</v>
      </c>
      <c r="L41" s="10">
        <f t="shared" si="0"/>
        <v>-3.2910028048578255</v>
      </c>
    </row>
    <row r="42" spans="1:12" x14ac:dyDescent="0.25">
      <c r="G42">
        <v>17</v>
      </c>
      <c r="H42">
        <v>221.88242655704857</v>
      </c>
      <c r="I42">
        <v>-18.882426557048575</v>
      </c>
      <c r="J42">
        <v>-0.13191936642605334</v>
      </c>
      <c r="K42" s="1">
        <v>203</v>
      </c>
      <c r="L42" s="10">
        <f t="shared" si="0"/>
        <v>-18.882426557048575</v>
      </c>
    </row>
    <row r="43" spans="1:12" x14ac:dyDescent="0.25">
      <c r="G43">
        <v>18</v>
      </c>
      <c r="H43">
        <v>589.88351904350247</v>
      </c>
      <c r="I43">
        <v>47.116480956497526</v>
      </c>
      <c r="J43">
        <v>0.32917254025734127</v>
      </c>
      <c r="K43" s="1">
        <v>637</v>
      </c>
      <c r="L43" s="10">
        <f t="shared" si="0"/>
        <v>47.116480956497526</v>
      </c>
    </row>
    <row r="44" spans="1:12" x14ac:dyDescent="0.25">
      <c r="G44">
        <v>19</v>
      </c>
      <c r="H44">
        <v>88.971321362964261</v>
      </c>
      <c r="I44">
        <v>302.02867863703574</v>
      </c>
      <c r="J44">
        <v>2.1100800687834673</v>
      </c>
      <c r="K44" s="1">
        <v>391</v>
      </c>
      <c r="L44" s="10">
        <f t="shared" si="0"/>
        <v>302.02867863703574</v>
      </c>
    </row>
    <row r="45" spans="1:12" x14ac:dyDescent="0.25">
      <c r="G45">
        <v>20</v>
      </c>
      <c r="H45">
        <v>227.48727098056656</v>
      </c>
      <c r="I45">
        <v>-76.487270980566564</v>
      </c>
      <c r="J45">
        <v>-0.53436735458386675</v>
      </c>
      <c r="K45" s="1">
        <v>151</v>
      </c>
      <c r="L45" s="10">
        <f t="shared" si="0"/>
        <v>-76.487270980566564</v>
      </c>
    </row>
    <row r="46" spans="1:12" x14ac:dyDescent="0.25">
      <c r="G46">
        <v>21</v>
      </c>
      <c r="H46">
        <v>116.86335375358438</v>
      </c>
      <c r="I46">
        <v>59.136646246415623</v>
      </c>
      <c r="J46">
        <v>0.41314970201627388</v>
      </c>
      <c r="K46" s="1">
        <v>176</v>
      </c>
      <c r="L46" s="10">
        <f t="shared" si="0"/>
        <v>59.136646246415623</v>
      </c>
    </row>
    <row r="47" spans="1:12" x14ac:dyDescent="0.25">
      <c r="G47">
        <v>22</v>
      </c>
      <c r="H47">
        <v>266.58521536888065</v>
      </c>
      <c r="I47">
        <v>-107.58521536888065</v>
      </c>
      <c r="J47">
        <v>-0.75162868529602844</v>
      </c>
      <c r="K47" s="1">
        <v>159</v>
      </c>
      <c r="L47" s="10">
        <f t="shared" si="0"/>
        <v>-107.58521536888065</v>
      </c>
    </row>
    <row r="48" spans="1:12" x14ac:dyDescent="0.25">
      <c r="G48">
        <v>23</v>
      </c>
      <c r="H48">
        <v>113.60393277144421</v>
      </c>
      <c r="I48">
        <v>-3.6039327714442067</v>
      </c>
      <c r="J48">
        <v>-2.5178359699407318E-2</v>
      </c>
      <c r="K48" s="1">
        <v>110</v>
      </c>
      <c r="L48" s="10">
        <f t="shared" si="0"/>
        <v>-3.6039327714442067</v>
      </c>
    </row>
    <row r="49" spans="7:12" x14ac:dyDescent="0.25">
      <c r="G49">
        <v>24</v>
      </c>
      <c r="H49">
        <v>225.19094658063466</v>
      </c>
      <c r="I49">
        <v>136.80905341936534</v>
      </c>
      <c r="J49">
        <v>0.95579684072404125</v>
      </c>
      <c r="K49" s="1">
        <v>362</v>
      </c>
      <c r="L49" s="10">
        <f t="shared" si="0"/>
        <v>136.80905341936534</v>
      </c>
    </row>
    <row r="50" spans="7:12" x14ac:dyDescent="0.25">
      <c r="G50">
        <v>25</v>
      </c>
      <c r="H50">
        <v>750.75086306702087</v>
      </c>
      <c r="I50">
        <v>48.249136932979127</v>
      </c>
      <c r="J50">
        <v>0.33708567887565932</v>
      </c>
      <c r="K50" s="1">
        <v>799</v>
      </c>
      <c r="L50" s="10">
        <f t="shared" si="0"/>
        <v>48.249136932979127</v>
      </c>
    </row>
    <row r="51" spans="7:12" x14ac:dyDescent="0.25">
      <c r="G51">
        <v>26</v>
      </c>
      <c r="H51">
        <v>86.746757100530232</v>
      </c>
      <c r="I51">
        <v>-3.7467571005302318</v>
      </c>
      <c r="J51">
        <v>-2.6176181401312539E-2</v>
      </c>
      <c r="K51" s="1">
        <v>83</v>
      </c>
      <c r="L51" s="10">
        <f t="shared" si="0"/>
        <v>-3.7467571005302318</v>
      </c>
    </row>
    <row r="52" spans="7:12" x14ac:dyDescent="0.25">
      <c r="G52">
        <v>27</v>
      </c>
      <c r="H52">
        <v>448.0930410463921</v>
      </c>
      <c r="I52">
        <v>291.9069589536079</v>
      </c>
      <c r="J52">
        <v>2.0393661251202531</v>
      </c>
      <c r="K52" s="1">
        <v>740</v>
      </c>
      <c r="L52" s="10">
        <f t="shared" si="0"/>
        <v>291.9069589536079</v>
      </c>
    </row>
    <row r="53" spans="7:12" x14ac:dyDescent="0.25">
      <c r="G53">
        <v>28</v>
      </c>
      <c r="H53">
        <v>457.79576700597272</v>
      </c>
      <c r="I53">
        <v>364.20423299402728</v>
      </c>
      <c r="J53">
        <v>2.5444606666998513</v>
      </c>
      <c r="K53" s="1">
        <v>822</v>
      </c>
      <c r="L53" s="10">
        <f t="shared" si="0"/>
        <v>364.20423299402728</v>
      </c>
    </row>
    <row r="54" spans="7:12" x14ac:dyDescent="0.25">
      <c r="G54">
        <v>29</v>
      </c>
      <c r="H54">
        <v>110.86194014915711</v>
      </c>
      <c r="I54">
        <v>164.13805985084289</v>
      </c>
      <c r="J54">
        <v>1.146727026661837</v>
      </c>
      <c r="K54" s="1">
        <v>275</v>
      </c>
      <c r="L54" s="10">
        <f t="shared" si="0"/>
        <v>164.13805985084289</v>
      </c>
    </row>
    <row r="55" spans="7:12" x14ac:dyDescent="0.25">
      <c r="G55">
        <v>30</v>
      </c>
      <c r="H55">
        <v>92.884137281269261</v>
      </c>
      <c r="I55">
        <v>-8.8841372812692612</v>
      </c>
      <c r="J55">
        <v>-6.2067751612656576E-2</v>
      </c>
      <c r="K55" s="1">
        <v>84</v>
      </c>
      <c r="L55" s="10">
        <f t="shared" si="0"/>
        <v>-8.8841372812692612</v>
      </c>
    </row>
    <row r="56" spans="7:12" x14ac:dyDescent="0.25">
      <c r="G56">
        <v>31</v>
      </c>
      <c r="H56">
        <v>76.824973879113969</v>
      </c>
      <c r="I56">
        <v>103.17502612088603</v>
      </c>
      <c r="J56">
        <v>0.72081753029660556</v>
      </c>
      <c r="K56" s="1">
        <v>180</v>
      </c>
      <c r="L56" s="10">
        <f t="shared" si="0"/>
        <v>103.17502612088603</v>
      </c>
    </row>
    <row r="57" spans="7:12" x14ac:dyDescent="0.25">
      <c r="G57">
        <v>32</v>
      </c>
      <c r="H57">
        <v>470.3311299720483</v>
      </c>
      <c r="I57">
        <v>-45.331129972048302</v>
      </c>
      <c r="J57">
        <v>-0.31669944152688417</v>
      </c>
      <c r="K57" s="1">
        <v>425</v>
      </c>
      <c r="L57" s="10">
        <f t="shared" si="0"/>
        <v>-45.331129972048302</v>
      </c>
    </row>
    <row r="58" spans="7:12" ht="15.75" thickBot="1" x14ac:dyDescent="0.3">
      <c r="G58" s="7">
        <v>33</v>
      </c>
      <c r="H58" s="7">
        <v>527.8449917519215</v>
      </c>
      <c r="I58" s="7">
        <v>-22.844991751921498</v>
      </c>
      <c r="J58" s="7">
        <v>-0.15960326014332746</v>
      </c>
      <c r="K58" s="1">
        <v>505</v>
      </c>
      <c r="L58" s="10">
        <f t="shared" si="0"/>
        <v>-22.844991751921498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Vipond</dc:creator>
  <cp:lastModifiedBy>Admin</cp:lastModifiedBy>
  <dcterms:created xsi:type="dcterms:W3CDTF">2024-12-15T23:08:10Z</dcterms:created>
  <dcterms:modified xsi:type="dcterms:W3CDTF">2026-04-07T00:00:16Z</dcterms:modified>
</cp:coreProperties>
</file>